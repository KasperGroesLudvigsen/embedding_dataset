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gal/sw/embedding_dataset/"/>
    </mc:Choice>
  </mc:AlternateContent>
  <xr:revisionPtr revIDLastSave="0" documentId="13_ncr:1_{4BA022F5-2FEE-EB4B-A5CD-F39FE8A8298F}" xr6:coauthVersionLast="47" xr6:coauthVersionMax="47" xr10:uidLastSave="{00000000-0000-0000-0000-000000000000}"/>
  <bookViews>
    <workbookView xWindow="680" yWindow="660" windowWidth="28040" windowHeight="16980" xr2:uid="{4CAED55A-6CC8-0942-9C99-39986C26251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2" l="1"/>
  <c r="A2" i="2"/>
  <c r="E3" i="1" l="1"/>
  <c r="E2" i="1"/>
</calcChain>
</file>

<file path=xl/sharedStrings.xml><?xml version="1.0" encoding="utf-8"?>
<sst xmlns="http://schemas.openxmlformats.org/spreadsheetml/2006/main" count="11" uniqueCount="10">
  <si>
    <t>Model</t>
  </si>
  <si>
    <t>USD per mil. Input</t>
  </si>
  <si>
    <t>USD per mil. Output</t>
  </si>
  <si>
    <t>Input token</t>
  </si>
  <si>
    <t>Output tokens</t>
  </si>
  <si>
    <t>mistralai/Mistral-Small-3.1-24B-Instruct-2503</t>
  </si>
  <si>
    <t>Provider</t>
  </si>
  <si>
    <t>OpenRouter</t>
  </si>
  <si>
    <t>Total price 1m samples</t>
  </si>
  <si>
    <t>gemma 4 31b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</si>
</sst>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hf.co/mistralai/Mistral-Small-3.1-24B-Instruct-25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34252-DCFB-CD46-9B38-773F57F14750}">
  <dimension ref="A1:E3"/>
  <sheetViews>
    <sheetView tabSelected="1" workbookViewId="0">
      <selection activeCell="E4" sqref="E4"/>
    </sheetView>
  </sheetViews>
  <sheetFormatPr baseColWidth="10" defaultRowHeight="16" x14ac:dyDescent="0.2"/>
  <cols>
    <col min="2" max="2" width="15.5" bestFit="1" customWidth="1"/>
    <col min="3" max="3" width="17.1640625" bestFit="1" customWidth="1"/>
    <col min="5" max="5" width="14.6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6</v>
      </c>
      <c r="E1" t="s">
        <v>8</v>
      </c>
    </row>
    <row r="2" spans="1:5" x14ac:dyDescent="0.2">
      <c r="A2" s="1" t="s">
        <v>5</v>
      </c>
      <c r="B2">
        <v>0.35099999999999998</v>
      </c>
      <c r="C2">
        <v>0.55500000000000005</v>
      </c>
      <c r="D2" t="s">
        <v>7</v>
      </c>
      <c r="E2" s="2">
        <f>Sheet1!B2*Sheet2!$A$2+(Sheet2!$B$2*Sheet1!C2)</f>
        <v>175.55099999999999</v>
      </c>
    </row>
    <row r="3" spans="1:5" x14ac:dyDescent="0.2">
      <c r="A3" t="s">
        <v>9</v>
      </c>
      <c r="B3">
        <v>0.12</v>
      </c>
      <c r="C3">
        <v>0.37</v>
      </c>
      <c r="D3" t="s">
        <v>7</v>
      </c>
      <c r="E3" s="2">
        <f>Sheet1!B3*Sheet2!$A$2+(Sheet2!$B$2*Sheet1!C3)</f>
        <v>88.533999999999992</v>
      </c>
    </row>
  </sheetData>
  <hyperlinks>
    <hyperlink ref="A2" r:id="rId1" display="https://hf.co/mistralai/Mistral-Small-3.1-24B-Instruct-2503" xr:uid="{8351D9D1-1563-CC4C-853F-F74445DB86B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6CF5B-4E0D-AB4F-AC2F-BC6F867AA61F}">
  <dimension ref="A1:B2"/>
  <sheetViews>
    <sheetView workbookViewId="0">
      <selection activeCell="B3" sqref="B3"/>
    </sheetView>
  </sheetViews>
  <sheetFormatPr baseColWidth="10" defaultRowHeight="16" x14ac:dyDescent="0.2"/>
  <sheetData>
    <row r="1" spans="1:2" x14ac:dyDescent="0.2">
      <c r="A1" t="s">
        <v>3</v>
      </c>
      <c r="B1" t="s">
        <v>4</v>
      </c>
    </row>
    <row r="2" spans="1:2" x14ac:dyDescent="0.2">
      <c r="A2">
        <f>1000000*250/1000000</f>
        <v>250</v>
      </c>
      <c r="B2">
        <f>1000000*((38+200+23+500+30)/5)/1000000</f>
        <v>158.19999999999999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Kasper Groes Albin Ludvigsen - Implement Consulting Group</dc:creator>
  <cp:lastModifiedBy>Kasper Groes Albin Ludvigsen - Implement Consulting Gr</cp:lastModifiedBy>
  <dcterms:created xsi:type="dcterms:W3CDTF">2026-05-27T10:41:34Z</dcterms:created>
  <dcterms:modified xsi:type="dcterms:W3CDTF">2026-05-28T09:29:41Z</dcterms:modified>
</cp:coreProperties>
</file>